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" sheetId="1" r:id="rId4"/>
    <sheet state="visible" name="EX1" sheetId="2" r:id="rId5"/>
    <sheet state="hidden" name="__OpenSolverCache__" sheetId="3" r:id="rId6"/>
    <sheet state="hidden" name="__OpenSolver__" sheetId="4" r:id="rId7"/>
  </sheets>
  <definedNames/>
  <calcPr/>
</workbook>
</file>

<file path=xl/sharedStrings.xml><?xml version="1.0" encoding="utf-8"?>
<sst xmlns="http://schemas.openxmlformats.org/spreadsheetml/2006/main" count="38" uniqueCount="27">
  <si>
    <t>Variables</t>
  </si>
  <si>
    <t>x1</t>
  </si>
  <si>
    <t>x2</t>
  </si>
  <si>
    <t>Valeurs</t>
  </si>
  <si>
    <t>Objectif</t>
  </si>
  <si>
    <t>R1</t>
  </si>
  <si>
    <t>R2</t>
  </si>
  <si>
    <t>Produit 1</t>
  </si>
  <si>
    <t>Produit 2</t>
  </si>
  <si>
    <t>Disponibilité</t>
  </si>
  <si>
    <t>Ressource 1</t>
  </si>
  <si>
    <t>Ressource 2</t>
  </si>
  <si>
    <t>Profit</t>
  </si>
  <si>
    <t>Question 1 :</t>
  </si>
  <si>
    <t>X1</t>
  </si>
  <si>
    <t>X2</t>
  </si>
  <si>
    <t>Z</t>
  </si>
  <si>
    <t>C1</t>
  </si>
  <si>
    <t>C2</t>
  </si>
  <si>
    <t>C.S</t>
  </si>
  <si>
    <t>Question 2 :</t>
  </si>
  <si>
    <t>Nouveau Profit X1</t>
  </si>
  <si>
    <t>Non la solution n'est plus la même, X1 s'annule et donc Z dépend totalement de X2</t>
  </si>
  <si>
    <t>Question 3 :</t>
  </si>
  <si>
    <t>Nouveau Profit X2</t>
  </si>
  <si>
    <t>Non la solution n'est plus la même, cette fois ci c'est X2 qui s'annule et donc Z dépend maintenant que de X1</t>
  </si>
  <si>
    <t>Question 4 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</si>
</sst>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/>
  </fonts>
  <fills count="14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4CCCC"/>
        <bgColor rgb="FFF4CCCC"/>
      </patternFill>
    </fill>
    <fill>
      <patternFill patternType="solid">
        <fgColor theme="9"/>
        <bgColor theme="9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27BA0"/>
        <bgColor rgb="FFC27BA0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theme="7"/>
        <bgColor theme="7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1" fillId="0" fontId="1" numFmtId="0" xfId="0" applyBorder="1" applyFont="1"/>
    <xf borderId="4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5" fillId="0" fontId="1" numFmtId="0" xfId="0" applyAlignment="1" applyBorder="1" applyFont="1">
      <alignment readingOrder="0"/>
    </xf>
    <xf borderId="4" fillId="0" fontId="1" numFmtId="0" xfId="0" applyBorder="1" applyFont="1"/>
    <xf borderId="5" fillId="0" fontId="1" numFmtId="0" xfId="0" applyBorder="1" applyFont="1"/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9" fillId="2" fontId="2" numFmtId="0" xfId="0" applyAlignment="1" applyBorder="1" applyFill="1" applyFont="1">
      <alignment horizontal="center" readingOrder="0"/>
    </xf>
    <xf borderId="9" fillId="3" fontId="1" numFmtId="0" xfId="0" applyAlignment="1" applyBorder="1" applyFill="1" applyFont="1">
      <alignment readingOrder="0"/>
    </xf>
    <xf borderId="10" fillId="4" fontId="1" numFmtId="0" xfId="0" applyAlignment="1" applyBorder="1" applyFill="1" applyFont="1">
      <alignment horizontal="center" readingOrder="0"/>
    </xf>
    <xf borderId="11" fillId="0" fontId="3" numFmtId="0" xfId="0" applyBorder="1" applyFont="1"/>
    <xf borderId="12" fillId="0" fontId="3" numFmtId="0" xfId="0" applyBorder="1" applyFont="1"/>
    <xf borderId="9" fillId="5" fontId="1" numFmtId="0" xfId="0" applyAlignment="1" applyBorder="1" applyFill="1" applyFont="1">
      <alignment horizontal="center" readingOrder="0"/>
    </xf>
    <xf borderId="9" fillId="6" fontId="1" numFmtId="0" xfId="0" applyAlignment="1" applyBorder="1" applyFill="1" applyFont="1">
      <alignment readingOrder="0"/>
    </xf>
    <xf borderId="9" fillId="6" fontId="1" numFmtId="0" xfId="0" applyAlignment="1" applyBorder="1" applyFont="1">
      <alignment readingOrder="0"/>
    </xf>
    <xf borderId="9" fillId="6" fontId="1" numFmtId="0" xfId="0" applyBorder="1" applyFont="1"/>
    <xf borderId="9" fillId="7" fontId="1" numFmtId="0" xfId="0" applyAlignment="1" applyBorder="1" applyFill="1" applyFont="1">
      <alignment horizontal="center" readingOrder="0"/>
    </xf>
    <xf borderId="9" fillId="8" fontId="1" numFmtId="0" xfId="0" applyBorder="1" applyFill="1" applyFont="1"/>
    <xf borderId="9" fillId="8" fontId="1" numFmtId="0" xfId="0" applyAlignment="1" applyBorder="1" applyFont="1">
      <alignment readingOrder="0"/>
    </xf>
    <xf borderId="9" fillId="9" fontId="1" numFmtId="0" xfId="0" applyAlignment="1" applyBorder="1" applyFill="1" applyFont="1">
      <alignment horizontal="center" readingOrder="0"/>
    </xf>
    <xf borderId="9" fillId="10" fontId="1" numFmtId="0" xfId="0" applyAlignment="1" applyBorder="1" applyFill="1" applyFont="1">
      <alignment horizontal="center" readingOrder="0"/>
    </xf>
    <xf borderId="9" fillId="11" fontId="1" numFmtId="0" xfId="0" applyAlignment="1" applyBorder="1" applyFill="1" applyFont="1">
      <alignment readingOrder="0"/>
    </xf>
    <xf borderId="9" fillId="12" fontId="1" numFmtId="0" xfId="0" applyAlignment="1" applyBorder="1" applyFill="1" applyFont="1">
      <alignment readingOrder="0"/>
    </xf>
    <xf borderId="10" fillId="13" fontId="2" numFmtId="0" xfId="0" applyAlignment="1" applyBorder="1" applyFill="1" applyFont="1">
      <alignment horizontal="center" readingOrder="0"/>
    </xf>
    <xf borderId="0" fillId="0" fontId="1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0</v>
      </c>
      <c r="C2" s="2" t="s">
        <v>1</v>
      </c>
      <c r="D2" s="3" t="s">
        <v>2</v>
      </c>
      <c r="E2" s="4"/>
    </row>
    <row r="3">
      <c r="B3" s="5" t="s">
        <v>3</v>
      </c>
      <c r="C3" s="6">
        <v>20.00000000000001</v>
      </c>
      <c r="D3" s="7">
        <v>39.999999999999986</v>
      </c>
      <c r="E3" s="8"/>
    </row>
    <row r="4">
      <c r="B4" s="5" t="s">
        <v>4</v>
      </c>
      <c r="C4" s="6">
        <v>7.0</v>
      </c>
      <c r="D4" s="7">
        <v>6.0</v>
      </c>
      <c r="E4" s="5">
        <f>C4*C3+D4*D3</f>
        <v>380</v>
      </c>
    </row>
    <row r="5">
      <c r="B5" s="8"/>
      <c r="D5" s="9"/>
      <c r="E5" s="8"/>
    </row>
    <row r="6">
      <c r="B6" s="5" t="s">
        <v>5</v>
      </c>
      <c r="C6" s="6">
        <v>2.0</v>
      </c>
      <c r="D6" s="7">
        <v>4.0</v>
      </c>
      <c r="E6" s="7">
        <f>C6*C3+D6*D3</f>
        <v>200</v>
      </c>
      <c r="F6" s="1">
        <v>200.0</v>
      </c>
    </row>
    <row r="7">
      <c r="B7" s="10" t="s">
        <v>6</v>
      </c>
      <c r="C7" s="11">
        <v>30.0</v>
      </c>
      <c r="D7" s="12">
        <v>15.0</v>
      </c>
      <c r="E7" s="12">
        <f>C7*C3+D7*D3</f>
        <v>1200</v>
      </c>
      <c r="F7" s="10">
        <v>1200.0</v>
      </c>
    </row>
    <row r="11">
      <c r="G11" s="6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5"/>
  </cols>
  <sheetData>
    <row r="3">
      <c r="B3" s="13" t="s">
        <v>7</v>
      </c>
      <c r="C3" s="13" t="s">
        <v>8</v>
      </c>
      <c r="D3" s="13" t="s">
        <v>9</v>
      </c>
    </row>
    <row r="4">
      <c r="A4" s="13" t="s">
        <v>10</v>
      </c>
      <c r="B4" s="14">
        <v>1.0</v>
      </c>
      <c r="C4" s="14">
        <v>2.0</v>
      </c>
      <c r="D4" s="14">
        <v>10.0</v>
      </c>
    </row>
    <row r="5">
      <c r="A5" s="13" t="s">
        <v>11</v>
      </c>
      <c r="B5" s="14">
        <v>1.0</v>
      </c>
      <c r="C5" s="14">
        <v>3.0</v>
      </c>
      <c r="D5" s="14">
        <v>12.0</v>
      </c>
    </row>
    <row r="6">
      <c r="A6" s="13" t="s">
        <v>12</v>
      </c>
      <c r="B6" s="14">
        <v>2.0</v>
      </c>
      <c r="C6" s="14">
        <v>5.0</v>
      </c>
    </row>
    <row r="9">
      <c r="A9" s="15" t="s">
        <v>13</v>
      </c>
      <c r="B9" s="16"/>
      <c r="C9" s="16"/>
      <c r="D9" s="16"/>
      <c r="E9" s="16"/>
      <c r="F9" s="16"/>
      <c r="G9" s="17"/>
    </row>
    <row r="11">
      <c r="B11" s="18" t="s">
        <v>14</v>
      </c>
      <c r="C11" s="18" t="s">
        <v>15</v>
      </c>
      <c r="D11" s="18" t="s">
        <v>16</v>
      </c>
    </row>
    <row r="12">
      <c r="B12" s="19">
        <v>6.0000000000000036</v>
      </c>
      <c r="C12" s="20">
        <v>1.999999999999999</v>
      </c>
      <c r="D12" s="21">
        <f>B12*B6+C12*C6</f>
        <v>22</v>
      </c>
    </row>
    <row r="14">
      <c r="A14" s="22" t="s">
        <v>17</v>
      </c>
      <c r="B14" s="23">
        <f>B12*B4+C12*C4</f>
        <v>10</v>
      </c>
      <c r="C14" s="24">
        <v>10.0</v>
      </c>
    </row>
    <row r="15">
      <c r="A15" s="22" t="s">
        <v>18</v>
      </c>
      <c r="B15" s="23">
        <f>B12*B5+C12*C5</f>
        <v>12</v>
      </c>
      <c r="C15" s="24">
        <v>12.0</v>
      </c>
    </row>
    <row r="16">
      <c r="A16" s="22" t="s">
        <v>19</v>
      </c>
      <c r="B16" s="23"/>
      <c r="C16" s="24">
        <v>0.0</v>
      </c>
    </row>
    <row r="19">
      <c r="A19" s="15" t="s">
        <v>20</v>
      </c>
      <c r="B19" s="16"/>
      <c r="C19" s="16"/>
      <c r="D19" s="16"/>
      <c r="E19" s="16"/>
      <c r="F19" s="16"/>
      <c r="G19" s="17"/>
    </row>
    <row r="20">
      <c r="B20" s="6"/>
      <c r="C20" s="6"/>
      <c r="D20" s="6"/>
      <c r="F20" s="6"/>
    </row>
    <row r="21">
      <c r="B21" s="25" t="s">
        <v>14</v>
      </c>
      <c r="C21" s="25" t="s">
        <v>15</v>
      </c>
      <c r="D21" s="25" t="s">
        <v>16</v>
      </c>
      <c r="F21" s="26" t="s">
        <v>21</v>
      </c>
    </row>
    <row r="22">
      <c r="B22" s="27">
        <v>0.0</v>
      </c>
      <c r="C22" s="27">
        <v>4.0</v>
      </c>
      <c r="D22" s="27">
        <v>20.0</v>
      </c>
      <c r="F22" s="28">
        <v>1.0</v>
      </c>
    </row>
    <row r="24">
      <c r="B24" s="29" t="s">
        <v>22</v>
      </c>
      <c r="C24" s="16"/>
      <c r="D24" s="16"/>
      <c r="E24" s="16"/>
      <c r="F24" s="17"/>
    </row>
    <row r="27">
      <c r="A27" s="15" t="s">
        <v>23</v>
      </c>
      <c r="B27" s="16"/>
      <c r="C27" s="16"/>
      <c r="D27" s="16"/>
      <c r="E27" s="16"/>
      <c r="F27" s="16"/>
      <c r="G27" s="17"/>
    </row>
    <row r="28">
      <c r="B28" s="6"/>
      <c r="C28" s="6"/>
      <c r="D28" s="6"/>
      <c r="F28" s="6"/>
    </row>
    <row r="29">
      <c r="B29" s="25" t="s">
        <v>14</v>
      </c>
      <c r="C29" s="25" t="s">
        <v>15</v>
      </c>
      <c r="D29" s="25" t="s">
        <v>16</v>
      </c>
      <c r="F29" s="26" t="s">
        <v>24</v>
      </c>
    </row>
    <row r="30">
      <c r="B30" s="27">
        <v>10.0</v>
      </c>
      <c r="C30" s="27">
        <v>0.0</v>
      </c>
      <c r="D30" s="27">
        <v>20.0</v>
      </c>
      <c r="F30" s="28">
        <v>2.5</v>
      </c>
    </row>
    <row r="32">
      <c r="A32" s="29" t="s">
        <v>25</v>
      </c>
      <c r="B32" s="16"/>
      <c r="C32" s="16"/>
      <c r="D32" s="16"/>
      <c r="E32" s="16"/>
      <c r="F32" s="16"/>
      <c r="G32" s="17"/>
    </row>
    <row r="35">
      <c r="A35" s="15" t="s">
        <v>26</v>
      </c>
      <c r="B35" s="16"/>
      <c r="C35" s="16"/>
      <c r="D35" s="16"/>
      <c r="E35" s="16"/>
      <c r="F35" s="16"/>
      <c r="G35" s="17"/>
    </row>
    <row r="36">
      <c r="B36" s="6"/>
      <c r="C36" s="6"/>
      <c r="D36" s="6"/>
      <c r="F36" s="6"/>
    </row>
    <row r="37">
      <c r="B37" s="25" t="s">
        <v>14</v>
      </c>
      <c r="C37" s="25" t="s">
        <v>15</v>
      </c>
      <c r="D37" s="25" t="s">
        <v>16</v>
      </c>
      <c r="F37" s="26" t="s">
        <v>21</v>
      </c>
    </row>
    <row r="38">
      <c r="B38" s="27">
        <v>0.0</v>
      </c>
      <c r="C38" s="27">
        <v>4.0</v>
      </c>
      <c r="D38" s="27">
        <v>20.0</v>
      </c>
      <c r="F38" s="28">
        <v>1.0</v>
      </c>
    </row>
    <row r="40">
      <c r="B40" s="29" t="s">
        <v>22</v>
      </c>
      <c r="C40" s="16"/>
      <c r="D40" s="16"/>
      <c r="E40" s="16"/>
      <c r="F40" s="17"/>
    </row>
  </sheetData>
  <mergeCells count="7">
    <mergeCell ref="A19:G19"/>
    <mergeCell ref="B24:F24"/>
    <mergeCell ref="A27:G27"/>
    <mergeCell ref="A32:G32"/>
    <mergeCell ref="A35:G35"/>
    <mergeCell ref="B40:F40"/>
    <mergeCell ref="A9:G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tr">
        <f>ModelSheet=Guide!A:Z</f>
        <v>#NAME?</v>
      </c>
      <c r="B1" s="31" t="str">
        <f>ModelSheet='EX1'!A:Z</f>
        <v>#NAME?</v>
      </c>
    </row>
    <row r="2">
      <c r="A2" s="31" t="str">
        <f>OpenSolver_AdjNum=1</f>
        <v>#NAME?</v>
      </c>
      <c r="B2" s="31" t="str">
        <f>OpenSolver_AdjNum=2</f>
        <v>#NAME?</v>
      </c>
    </row>
    <row r="3">
      <c r="A3" s="31" t="str">
        <f t="shared" ref="A3:B3" si="1">OpenSolver_ChosenSolver=Google</f>
        <v>#NAME?</v>
      </c>
      <c r="B3" s="31" t="str">
        <f t="shared" si="1"/>
        <v>#NAME?</v>
      </c>
    </row>
    <row r="4">
      <c r="A4" s="31" t="str">
        <f t="shared" ref="A4:B4" si="2">OpenSolver_FastBuild=0</f>
        <v>#NAME?</v>
      </c>
      <c r="B4" s="31" t="str">
        <f t="shared" si="2"/>
        <v>#NAME?</v>
      </c>
    </row>
    <row r="5">
      <c r="A5" s="31" t="str">
        <f t="shared" ref="A5:B5" si="3">OpenSolver_LinearityCheck=1</f>
        <v>#NAME?</v>
      </c>
      <c r="B5" s="31" t="str">
        <f t="shared" si="3"/>
        <v>#NAME?</v>
      </c>
    </row>
    <row r="6">
      <c r="A6" s="31" t="str">
        <f>solver_adj='EX1'!B12:C12</f>
        <v>#NAME?</v>
      </c>
      <c r="B6" s="31" t="str">
        <f>solver_adj='EX1'!C12</f>
        <v>#NAME?</v>
      </c>
    </row>
    <row r="7">
      <c r="A7" s="31" t="str">
        <f>solver_lhs1=Guide!E6</f>
        <v>#NAME?</v>
      </c>
      <c r="B7" s="31" t="str">
        <f>solver_adj1='EX1'!B12</f>
        <v>#NAME?</v>
      </c>
    </row>
    <row r="8">
      <c r="A8" s="31" t="str">
        <f>solver_lhs2=Guide!E7</f>
        <v>#NAME?</v>
      </c>
      <c r="B8" s="31" t="str">
        <f>solver_lhs1='EX1'!B14</f>
        <v>#NAME?</v>
      </c>
    </row>
    <row r="9">
      <c r="A9" s="31" t="str">
        <f>solver_lhs3=Guide!C3:D3</f>
        <v>#NAME?</v>
      </c>
      <c r="B9" s="31" t="str">
        <f>solver_lhs2='EX1'!B15</f>
        <v>#NAME?</v>
      </c>
    </row>
    <row r="10">
      <c r="A10" s="31" t="str">
        <f>solver_neg=1</f>
        <v>#NAME?</v>
      </c>
      <c r="B10" s="31" t="str">
        <f>solver_lhs3='EX1'!C12</f>
        <v>#NAME?</v>
      </c>
    </row>
    <row r="11">
      <c r="A11" s="31" t="str">
        <f>solver_num=3</f>
        <v>#NAME?</v>
      </c>
      <c r="B11" s="31" t="str">
        <f>solver_lhs4='EX1'!B12</f>
        <v>#NAME?</v>
      </c>
    </row>
    <row r="12">
      <c r="A12" s="31" t="str">
        <f>solver_opt='EX1'!D12</f>
        <v>#NAME?</v>
      </c>
      <c r="B12" s="31" t="str">
        <f>solver_neg=1</f>
        <v>#NAME?</v>
      </c>
    </row>
    <row r="13">
      <c r="A13" s="31" t="str">
        <f>solver_rel1=1</f>
        <v>#NAME?</v>
      </c>
      <c r="B13" s="31" t="str">
        <f>solver_num=4</f>
        <v>#NAME?</v>
      </c>
    </row>
    <row r="14">
      <c r="A14" s="31" t="str">
        <f>solver_rel2=1</f>
        <v>#NAME?</v>
      </c>
      <c r="B14" s="31" t="str">
        <f>solver_opt='EX1'!D12</f>
        <v>#NAME?</v>
      </c>
    </row>
    <row r="15">
      <c r="A15" s="31" t="str">
        <f>solver_rel3=3</f>
        <v>#NAME?</v>
      </c>
      <c r="B15" s="31" t="str">
        <f>solver_rel1=1</f>
        <v>#NAME?</v>
      </c>
    </row>
    <row r="16">
      <c r="A16" s="31" t="str">
        <f>solver_rhs1=Guide!F6</f>
        <v>#NAME?</v>
      </c>
      <c r="B16" s="31" t="str">
        <f>solver_rel2=1</f>
        <v>#NAME?</v>
      </c>
    </row>
    <row r="17">
      <c r="A17" s="31" t="str">
        <f>solver_rhs2=Guide!F7</f>
        <v>#NAME?</v>
      </c>
      <c r="B17" s="31" t="str">
        <f>solver_rel3=3</f>
        <v>#NAME?</v>
      </c>
    </row>
    <row r="18">
      <c r="A18" s="31" t="str">
        <f>solver_rhs3=Guide!G11</f>
        <v>#NAME?</v>
      </c>
      <c r="B18" s="31" t="str">
        <f>solver_rel4=3</f>
        <v>#NAME?</v>
      </c>
    </row>
    <row r="19">
      <c r="A19" s="31" t="str">
        <f>solver_sho=1</f>
        <v>#NAME?</v>
      </c>
      <c r="B19" s="31" t="str">
        <f>solver_rhs1='EX1'!C14</f>
        <v>#NAME?</v>
      </c>
    </row>
    <row r="20">
      <c r="A20" s="31" t="str">
        <f>solver_typ=1</f>
        <v>#NAME?</v>
      </c>
      <c r="B20" s="31" t="str">
        <f>solver_rhs2='EX1'!C15</f>
        <v>#NAME?</v>
      </c>
    </row>
    <row r="21">
      <c r="A21" s="31" t="str">
        <f>solver_val=0</f>
        <v>#NAME?</v>
      </c>
      <c r="B21" s="31" t="str">
        <f>solver_rhs3='EX1'!C16</f>
        <v>#NAME?</v>
      </c>
    </row>
    <row r="22">
      <c r="B22" s="31" t="str">
        <f>solver_rhs4='EX1'!C16</f>
        <v>#NAME?</v>
      </c>
    </row>
    <row r="23">
      <c r="B23" s="31" t="str">
        <f>solver_sho=1</f>
        <v>#NAME?</v>
      </c>
    </row>
    <row r="24">
      <c r="B24" s="31" t="str">
        <f>solver_typ=1</f>
        <v>#NAME?</v>
      </c>
    </row>
    <row r="25">
      <c r="B25" s="31" t="str">
        <f>solver_val=0</f>
        <v>#NAME?</v>
      </c>
    </row>
  </sheetData>
  <drawing r:id="rId1"/>
</worksheet>
</file>